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<sst xmlns="http://schemas.openxmlformats.org/spreadsheetml/2006/main" count="36" uniqueCount="36">
  <si>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O内裤店 利润表</t>
  </si>
  <si>
    <t>序号</t>
  </si>
  <si>
    <t>项目</t>
  </si>
  <si>
    <t>6月份</t>
  </si>
  <si>
    <t>GMV</t>
  </si>
  <si>
    <t>退款金额</t>
  </si>
  <si>
    <t>退款率</t>
  </si>
  <si>
    <t>1.实销金额</t>
  </si>
  <si>
    <t>2.实销成本</t>
  </si>
  <si>
    <t>申诉补回</t>
  </si>
  <si>
    <t>3.销售毛利</t>
  </si>
  <si>
    <t>毛利率</t>
  </si>
  <si>
    <t>4.平台扣费</t>
  </si>
  <si>
    <t>多多进宝</t>
  </si>
  <si>
    <t>黑标技术服务费</t>
  </si>
  <si>
    <t>技术服务费</t>
  </si>
  <si>
    <t>缺货</t>
  </si>
  <si>
    <t>售后补偿消费者</t>
  </si>
  <si>
    <t>消费者体验提升计划</t>
  </si>
  <si>
    <t>小额打款</t>
  </si>
  <si>
    <t>虚假发货</t>
  </si>
  <si>
    <t>延迟发货</t>
  </si>
  <si>
    <t>运费补偿</t>
  </si>
  <si>
    <t>直播技术服务费</t>
  </si>
  <si>
    <t>推广费消耗</t>
  </si>
  <si>
    <r>
      <rPr>
        <b/>
        <sz val="10"/>
        <color rgb="FF000000"/>
        <rFont val="微软雅黑"/>
        <charset val="134"/>
      </rPr>
      <t>5.其他费用</t>
    </r>
    <r>
      <rPr>
        <sz val="10"/>
        <color rgb="FF000000"/>
        <rFont val="微软雅黑"/>
        <charset val="134"/>
      </rPr>
      <t>（快递费、员工工资提成、仓库 耗材、房租水电、其他）</t>
    </r>
  </si>
  <si>
    <t>6.净利润</t>
  </si>
  <si>
    <t>净利润率</t>
  </si>
  <si>
    <t>推广费ROI</t>
  </si>
  <si>
    <t>提现</t>
  </si>
  <si>
    <t>货款充值广告账户</t>
  </si>
  <si>
    <t>发货单数量</t>
  </si>
  <si>
    <t>确认收货单数量</t>
  </si>
  <si>
    <t>有效订单数（剔除未付款、取消订单）</t>
  </si>
  <si>
    <t>退款订单数</t>
  </si>
  <si>
    <t>整体退货率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</si>
</sst>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20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7" borderId="15">
      <alignment vertical="center"/>
    </xf>
    <xf numFmtId="0" fontId="17" fillId="8" borderId="16">
      <alignment vertical="center"/>
    </xf>
    <xf numFmtId="0" fontId="18" fillId="8" borderId="15">
      <alignment vertical="center"/>
    </xf>
    <xf numFmtId="0" fontId="19" fillId="9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76" fontId="5" fillId="0" borderId="4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76" fontId="4" fillId="0" borderId="6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176" fontId="6" fillId="4" borderId="8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176" fontId="5" fillId="3" borderId="1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L5" sqref="L5"/>
    </sheetView>
  </sheetViews>
  <sheetFormatPr defaultColWidth="9" defaultRowHeight="13.5" outlineLevelCol="2"/>
  <cols>
    <col min="1" max="1" width="4.625" customWidth="1"/>
    <col min="2" max="2" width="31.125" customWidth="1"/>
    <col min="3" max="3" width="9.375" customWidth="1"/>
  </cols>
  <sheetData>
    <row r="1" ht="17.25" spans="1:3">
      <c r="A1" s="1"/>
      <c r="B1" s="2" t="s">
        <v>0</v>
      </c>
      <c r="C1" s="3"/>
    </row>
    <row r="2" ht="16.5" spans="1:3">
      <c r="A2" s="4" t="s">
        <v>1</v>
      </c>
      <c r="B2" s="5" t="s">
        <v>2</v>
      </c>
      <c r="C2" s="6" t="s">
        <v>3</v>
      </c>
    </row>
    <row r="3" ht="16.5" spans="1:3">
      <c r="A3" s="1">
        <v>1</v>
      </c>
      <c r="B3" s="4" t="s">
        <v>4</v>
      </c>
      <c r="C3" s="7"/>
    </row>
    <row r="4" ht="16.5" spans="1:3">
      <c r="A4" s="1">
        <v>2</v>
      </c>
      <c r="B4" s="4" t="s">
        <v>5</v>
      </c>
      <c r="C4" s="7"/>
    </row>
    <row r="5" ht="16.5" spans="1:3">
      <c r="A5" s="1">
        <v>3</v>
      </c>
      <c r="B5" s="1" t="s">
        <v>6</v>
      </c>
      <c r="C5" s="8" t="e">
        <f>C4/C3</f>
        <v>#DIV/0!</v>
      </c>
    </row>
    <row r="6" ht="16.5" spans="1:3">
      <c r="A6" s="9">
        <v>4</v>
      </c>
      <c r="B6" s="10" t="s">
        <v>7</v>
      </c>
      <c r="C6" s="11">
        <f>C3-C4</f>
        <v>0</v>
      </c>
    </row>
    <row r="7" ht="16.5" spans="1:3">
      <c r="A7" s="9">
        <v>5</v>
      </c>
      <c r="B7" s="12" t="s">
        <v>8</v>
      </c>
      <c r="C7" s="13"/>
    </row>
    <row r="8" ht="16.5" spans="1:3">
      <c r="A8" s="1">
        <v>6</v>
      </c>
      <c r="B8" s="4" t="s">
        <v>9</v>
      </c>
      <c r="C8" s="1">
        <v>0</v>
      </c>
    </row>
    <row r="9" ht="16.5" spans="1:3">
      <c r="A9" s="14">
        <v>7</v>
      </c>
      <c r="B9" s="15" t="s">
        <v>10</v>
      </c>
      <c r="C9" s="16">
        <f>C6-C7+C8</f>
        <v>0</v>
      </c>
    </row>
    <row r="10" ht="16.5" spans="1:3">
      <c r="A10" s="1">
        <v>8</v>
      </c>
      <c r="B10" s="1" t="s">
        <v>11</v>
      </c>
      <c r="C10" s="8" t="e">
        <f>(C9/C6)*100%</f>
        <v>#DIV/0!</v>
      </c>
    </row>
    <row r="11" ht="16.5" spans="1:3">
      <c r="A11" s="9">
        <v>9</v>
      </c>
      <c r="B11" s="10" t="s">
        <v>12</v>
      </c>
      <c r="C11" s="11">
        <f>SUM(C12:C23)</f>
        <v>0</v>
      </c>
    </row>
    <row r="12" ht="16.5" spans="1:3">
      <c r="A12" s="1">
        <v>10</v>
      </c>
      <c r="B12" s="4" t="s">
        <v>13</v>
      </c>
      <c r="C12" s="17"/>
    </row>
    <row r="13" ht="16.5" spans="1:3">
      <c r="A13" s="1">
        <v>11</v>
      </c>
      <c r="B13" s="18" t="s">
        <v>14</v>
      </c>
      <c r="C13" s="17"/>
    </row>
    <row r="14" ht="16.5" spans="1:3">
      <c r="A14" s="1">
        <v>12</v>
      </c>
      <c r="B14" s="18" t="s">
        <v>15</v>
      </c>
      <c r="C14" s="19"/>
    </row>
    <row r="15" ht="16.5" spans="1:3">
      <c r="A15" s="1">
        <v>13</v>
      </c>
      <c r="B15" s="4" t="s">
        <v>16</v>
      </c>
      <c r="C15" s="17"/>
    </row>
    <row r="16" ht="16.5" spans="1:3">
      <c r="A16" s="1">
        <v>14</v>
      </c>
      <c r="B16" s="4" t="s">
        <v>17</v>
      </c>
      <c r="C16" s="17"/>
    </row>
    <row r="17" ht="16.5" spans="1:3">
      <c r="A17" s="1">
        <v>15</v>
      </c>
      <c r="B17" s="4" t="s">
        <v>18</v>
      </c>
      <c r="C17" s="17"/>
    </row>
    <row r="18" ht="16.5" spans="1:3">
      <c r="A18" s="1">
        <v>16</v>
      </c>
      <c r="B18" s="4" t="s">
        <v>19</v>
      </c>
      <c r="C18" s="17"/>
    </row>
    <row r="19" ht="16.5" spans="1:3">
      <c r="A19" s="1">
        <v>17</v>
      </c>
      <c r="B19" s="20" t="s">
        <v>20</v>
      </c>
      <c r="C19" s="21"/>
    </row>
    <row r="20" ht="16.5" spans="1:3">
      <c r="A20" s="1">
        <v>18</v>
      </c>
      <c r="B20" s="18" t="s">
        <v>21</v>
      </c>
      <c r="C20" s="19"/>
    </row>
    <row r="21" ht="16.5" spans="1:3">
      <c r="A21" s="1">
        <v>19</v>
      </c>
      <c r="B21" s="18" t="s">
        <v>22</v>
      </c>
      <c r="C21" s="19"/>
    </row>
    <row r="22" ht="16.5" spans="1:3">
      <c r="A22" s="1">
        <v>20</v>
      </c>
      <c r="B22" s="18" t="s">
        <v>23</v>
      </c>
      <c r="C22" s="19"/>
    </row>
    <row r="23" ht="16.5" spans="1:3">
      <c r="A23" s="22">
        <v>21</v>
      </c>
      <c r="B23" s="23" t="s">
        <v>24</v>
      </c>
      <c r="C23" s="24"/>
    </row>
    <row r="24" ht="33" spans="1:3">
      <c r="A24" s="9">
        <v>22</v>
      </c>
      <c r="B24" s="25" t="s">
        <v>25</v>
      </c>
      <c r="C24" s="11">
        <f>C30*2</f>
        <v>0</v>
      </c>
    </row>
    <row r="25" ht="16.5" spans="1:3">
      <c r="A25" s="26">
        <v>23</v>
      </c>
      <c r="B25" s="27" t="s">
        <v>26</v>
      </c>
      <c r="C25" s="28">
        <f>C9-C11-C24</f>
        <v>0</v>
      </c>
    </row>
    <row r="26" ht="16.5" spans="1:3">
      <c r="A26" s="1">
        <v>24</v>
      </c>
      <c r="B26" s="1" t="s">
        <v>27</v>
      </c>
      <c r="C26" s="8" t="e">
        <f>C25/C7</f>
        <v>#DIV/0!</v>
      </c>
    </row>
    <row r="27" ht="16.5" spans="1:3">
      <c r="A27" s="1">
        <v>25</v>
      </c>
      <c r="B27" s="1" t="s">
        <v>28</v>
      </c>
      <c r="C27" s="7" t="e">
        <f>C4/C23</f>
        <v>#DIV/0!</v>
      </c>
    </row>
    <row r="28" ht="16.5" spans="1:3">
      <c r="A28" s="29">
        <v>26</v>
      </c>
      <c r="B28" s="30" t="s">
        <v>29</v>
      </c>
      <c r="C28" s="31"/>
    </row>
    <row r="29" ht="16.5" spans="1:3">
      <c r="A29" s="1">
        <v>27</v>
      </c>
      <c r="B29" s="4" t="s">
        <v>30</v>
      </c>
      <c r="C29" s="4"/>
    </row>
    <row r="30" ht="16.5" spans="1:3">
      <c r="A30" s="1">
        <v>28</v>
      </c>
      <c r="B30" s="4" t="s">
        <v>31</v>
      </c>
      <c r="C30" s="4"/>
    </row>
    <row r="31" ht="16.5" spans="1:3">
      <c r="A31" s="1">
        <v>29</v>
      </c>
      <c r="B31" s="4" t="s">
        <v>32</v>
      </c>
      <c r="C31" s="4"/>
    </row>
    <row r="32" ht="16.5" spans="1:3">
      <c r="A32" s="1">
        <v>30</v>
      </c>
      <c r="B32" s="4" t="s">
        <v>33</v>
      </c>
      <c r="C32" s="4"/>
    </row>
    <row r="33" ht="16.5" spans="1:3">
      <c r="A33" s="1">
        <v>31</v>
      </c>
      <c r="B33" s="1" t="s">
        <v>34</v>
      </c>
      <c r="C33" s="1"/>
    </row>
    <row r="34" ht="16.5" spans="1:3">
      <c r="A34" s="1">
        <v>32</v>
      </c>
      <c r="B34" s="1" t="s">
        <v>35</v>
      </c>
      <c r="C34" s="8" t="e">
        <f>C33/C32</f>
        <v>#DIV/0!</v>
      </c>
    </row>
  </sheetData>
  <mergeCells count="1">
    <mergeCell ref="B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思琦</cp:lastModifiedBy>
  <dcterms:created xsi:type="dcterms:W3CDTF">2023-05-12T11:15:00Z</dcterms:created>
  <dcterms:modified xsi:type="dcterms:W3CDTF">2026-07-08T06:20:48Z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FA03DA6A5FF147158B58418D297CB2AB_12</vt:lpwstr>
  </property>
  <property fmtid="{D5CDD505-2E9C-101B-9397-08002B2CF9AE}" pid="4" name="CalculationRule">
    <vt:i4>0</vt:i4>
  </property>
</Properties>
</file>